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<sst xmlns="http://schemas.openxmlformats.org/spreadsheetml/2006/main" count="232" uniqueCount="56">
  <si>
    <t xml:space="preserve">TRAFFIC COUNTS 1976 and 1985</t>
  </si>
  <si>
    <t xml:space="preserve">  </t>
  </si>
  <si>
    <t xml:space="preserve">PEAK HALF HOUR</t>
  </si>
  <si>
    <t xml:space="preserve">      Table 2:  Morning and Afternoon Peak Period Average </t>
  </si>
  <si>
    <t xml:space="preserve">                Traffic Volumes, by Direction </t>
  </si>
  <si>
    <t xml:space="preserve">AM</t>
  </si>
  <si>
    <t xml:space="preserve">PM</t>
  </si>
  <si>
    <t xml:space="preserve">OUT</t>
  </si>
  <si>
    <t xml:space="preserve">N</t>
  </si>
  <si>
    <t xml:space="preserve">-</t>
  </si>
  <si>
    <t xml:space="preserve">S</t>
  </si>
  <si>
    <t xml:space="preserve">Traffic</t>
  </si>
  <si>
    <t xml:space="preserve"> % Change</t>
  </si>
  <si>
    <t xml:space="preserve">E</t>
  </si>
  <si>
    <t xml:space="preserve">Direction</t>
  </si>
  <si>
    <t xml:space="preserve">W</t>
  </si>
  <si>
    <t xml:space="preserve">IN</t>
  </si>
  <si>
    <t xml:space="preserve">Nortbound (S-N)</t>
  </si>
  <si>
    <t xml:space="preserve">Southbound (N-S)</t>
  </si>
  <si>
    <t xml:space="preserve">Eastbound (W-E)</t>
  </si>
  <si>
    <t xml:space="preserve">Westbound (E-W)</t>
  </si>
  <si>
    <t xml:space="preserve">Note: Morning peak period is: 7:00 - 9:00 AM</t>
  </si>
  <si>
    <t xml:space="preserve">      Afternoon peak period is: 4:00 - 6:00 PM</t>
  </si>
  <si>
    <t xml:space="preserve">85-76</t>
  </si>
  <si>
    <t xml:space="preserve">PERCENT</t>
  </si>
  <si>
    <t xml:space="preserve">      Table 3:  Morning and Afternoon Peak Half Hour Average </t>
  </si>
  <si>
    <t xml:space="preserve">AVERAGE</t>
  </si>
  <si>
    <t xml:space="preserve">PEAK PERIOD</t>
  </si>
  <si>
    <t xml:space="preserve">Note: Peak half hour is defined for each link separately</t>
  </si>
  <si>
    <t xml:space="preserve">as the 30-minute interval of highest traffic volume.</t>
  </si>
  <si>
    <t xml:space="preserve"> Table 4: Ratio of Peak Half-hour to</t>
  </si>
  <si>
    <t xml:space="preserve">          Peak Period Traffic Volumes</t>
  </si>
  <si>
    <t xml:space="preserve">          By Direction</t>
  </si>
  <si>
    <t xml:space="preserve">PEAKHH/PEAKPD</t>
  </si>
  <si>
    <t xml:space="preserve">  Table 5: Difference Between Morning and </t>
  </si>
  <si>
    <t xml:space="preserve">           Afternoon Peak Period Traffic</t>
  </si>
  <si>
    <t xml:space="preserve">           Volumes, by Direction</t>
  </si>
  <si>
    <t xml:space="preserve">1976</t>
  </si>
  <si>
    <t xml:space="preserve">1985</t>
  </si>
  <si>
    <t xml:space="preserve">Radial Peak</t>
  </si>
  <si>
    <t xml:space="preserve">Radial Off-Peak</t>
  </si>
  <si>
    <t xml:space="preserve">Lateral Off-Peak</t>
  </si>
  <si>
    <t xml:space="preserve">Lateral Peak</t>
  </si>
  <si>
    <t xml:space="preserve">        Table 1: Montgomery County Trends</t>
  </si>
  <si>
    <t xml:space="preserve">Change (%)</t>
  </si>
  <si>
    <t xml:space="preserve">Households</t>
  </si>
  <si>
    <t xml:space="preserve">Population</t>
  </si>
  <si>
    <t xml:space="preserve">Average Household Size</t>
  </si>
  <si>
    <t xml:space="preserve">Employment</t>
  </si>
  <si>
    <t xml:space="preserve">Vehicle Registrations</t>
  </si>
  <si>
    <t xml:space="preserve">Vehicles per Household</t>
  </si>
  <si>
    <t xml:space="preserve">Labor Force Participation</t>
  </si>
  <si>
    <t xml:space="preserve">Lane Miles of State Roads</t>
  </si>
  <si>
    <t xml:space="preserve">Annual Vehicle Miles</t>
  </si>
  <si>
    <t xml:space="preserve">        Traveled ('000)</t>
  </si>
  <si>
    <t xml:space="preserve">source: Montgomery County Planning Department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</si>
</sst>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"/>
    <numFmt numFmtId="168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0" min="1" style="0" width="12.97"/>
    <col collapsed="false" customWidth="true" hidden="false" outlineLevel="0" max="11" min="11" style="0" width="23.07"/>
    <col collapsed="false" customWidth="true" hidden="false" outlineLevel="0" max="12" min="12" style="0" width="12.97"/>
    <col collapsed="false" customWidth="true" hidden="false" outlineLevel="0" max="19" min="16" style="0" width="12.97"/>
  </cols>
  <sheetData>
    <row r="1" customFormat="false" ht="16" hidden="false" customHeight="true" outlineLevel="0" collapsed="false">
      <c r="A1" s="1" t="s">
        <v>0</v>
      </c>
      <c r="H1" s="1" t="s">
        <v>1</v>
      </c>
    </row>
    <row r="2" customFormat="false" ht="16" hidden="false" customHeight="true" outlineLevel="0" collapsed="false">
      <c r="A2" s="1" t="s">
        <v>2</v>
      </c>
      <c r="K2" s="1" t="s">
        <v>3</v>
      </c>
    </row>
    <row r="3" customFormat="false" ht="16" hidden="false" customHeight="true" outlineLevel="0" collapsed="false">
      <c r="B3" s="2" t="n">
        <v>1976</v>
      </c>
      <c r="D3" s="2" t="n">
        <v>1985</v>
      </c>
      <c r="K3" s="1" t="s">
        <v>4</v>
      </c>
    </row>
    <row r="4" customFormat="false" ht="16" hidden="false" customHeight="true" outlineLevel="0" collapsed="false">
      <c r="B4" s="1" t="s">
        <v>5</v>
      </c>
      <c r="C4" s="1" t="s">
        <v>6</v>
      </c>
      <c r="D4" s="1" t="s">
        <v>5</v>
      </c>
      <c r="E4" s="1" t="s">
        <v>6</v>
      </c>
    </row>
    <row r="5" customFormat="false" ht="16" hidden="false" customHeight="true" outlineLevel="0" collapsed="false">
      <c r="A5" s="1" t="s">
        <v>7</v>
      </c>
    </row>
    <row r="6" customFormat="false" ht="16" hidden="false" customHeight="true" outlineLevel="0" collapsed="false">
      <c r="A6" s="1" t="s">
        <v>8</v>
      </c>
      <c r="B6" s="2" t="n">
        <v>318</v>
      </c>
      <c r="C6" s="2" t="n">
        <v>570</v>
      </c>
      <c r="D6" s="2" t="n">
        <v>362</v>
      </c>
      <c r="E6" s="2" t="n">
        <v>653</v>
      </c>
      <c r="K6" s="3" t="s">
        <v>9</v>
      </c>
      <c r="L6" s="3" t="s">
        <v>9</v>
      </c>
      <c r="M6" s="3" t="s">
        <v>9</v>
      </c>
      <c r="N6" s="3" t="s">
        <v>9</v>
      </c>
      <c r="O6" s="3" t="s">
        <v>9</v>
      </c>
      <c r="P6" s="3" t="s">
        <v>9</v>
      </c>
      <c r="Q6" s="3" t="s">
        <v>9</v>
      </c>
    </row>
    <row r="7" customFormat="false" ht="16" hidden="false" customHeight="true" outlineLevel="0" collapsed="false">
      <c r="A7" s="1" t="s">
        <v>10</v>
      </c>
      <c r="B7" s="2" t="n">
        <v>624</v>
      </c>
      <c r="C7" s="2" t="n">
        <v>409</v>
      </c>
      <c r="D7" s="2" t="n">
        <v>716</v>
      </c>
      <c r="E7" s="2" t="n">
        <v>449</v>
      </c>
      <c r="K7" s="4" t="s">
        <v>11</v>
      </c>
      <c r="L7" s="2" t="n">
        <v>1976</v>
      </c>
      <c r="N7" s="2" t="n">
        <v>1985</v>
      </c>
      <c r="P7" s="1" t="s">
        <v>12</v>
      </c>
    </row>
    <row r="8" customFormat="false" ht="16" hidden="false" customHeight="true" outlineLevel="0" collapsed="false">
      <c r="A8" s="1" t="s">
        <v>13</v>
      </c>
      <c r="B8" s="2" t="n">
        <v>321</v>
      </c>
      <c r="C8" s="2" t="n">
        <v>473</v>
      </c>
      <c r="D8" s="2" t="n">
        <v>396</v>
      </c>
      <c r="E8" s="2" t="n">
        <v>431</v>
      </c>
      <c r="K8" s="4" t="s">
        <v>14</v>
      </c>
      <c r="L8" s="1" t="s">
        <v>5</v>
      </c>
      <c r="M8" s="1" t="s">
        <v>6</v>
      </c>
      <c r="N8" s="1" t="s">
        <v>5</v>
      </c>
      <c r="O8" s="1" t="s">
        <v>6</v>
      </c>
      <c r="P8" s="1" t="s">
        <v>5</v>
      </c>
      <c r="Q8" s="1" t="s">
        <v>6</v>
      </c>
    </row>
    <row r="9" customFormat="false" ht="16" hidden="false" customHeight="true" outlineLevel="0" collapsed="false">
      <c r="A9" s="1" t="s">
        <v>15</v>
      </c>
      <c r="B9" s="2" t="n">
        <v>294</v>
      </c>
      <c r="C9" s="2" t="n">
        <v>343</v>
      </c>
      <c r="D9" s="2" t="n">
        <v>374</v>
      </c>
      <c r="E9" s="2" t="n">
        <v>426</v>
      </c>
      <c r="K9" s="3" t="s">
        <v>9</v>
      </c>
      <c r="L9" s="3" t="s">
        <v>9</v>
      </c>
      <c r="M9" s="3" t="s">
        <v>9</v>
      </c>
      <c r="N9" s="3" t="s">
        <v>9</v>
      </c>
      <c r="O9" s="3" t="s">
        <v>9</v>
      </c>
      <c r="P9" s="3" t="s">
        <v>9</v>
      </c>
      <c r="Q9" s="3" t="s">
        <v>9</v>
      </c>
    </row>
    <row r="10" customFormat="false" ht="16" hidden="false" customHeight="true" outlineLevel="0" collapsed="false">
      <c r="A10" s="1" t="s">
        <v>16</v>
      </c>
    </row>
    <row r="11" customFormat="false" ht="16" hidden="false" customHeight="true" outlineLevel="0" collapsed="false">
      <c r="A11" s="1" t="s">
        <v>8</v>
      </c>
      <c r="B11" s="2" t="n">
        <v>330</v>
      </c>
      <c r="C11" s="2" t="n">
        <v>627</v>
      </c>
      <c r="D11" s="2" t="n">
        <v>369</v>
      </c>
      <c r="E11" s="2" t="n">
        <v>701</v>
      </c>
      <c r="K11" s="1" t="s">
        <v>17</v>
      </c>
      <c r="L11" s="5" t="n">
        <v>1024</v>
      </c>
      <c r="M11" s="5" t="n">
        <v>2073</v>
      </c>
      <c r="N11" s="5" t="n">
        <v>1184</v>
      </c>
      <c r="O11" s="5" t="n">
        <v>2405</v>
      </c>
      <c r="P11" s="6" t="n">
        <f aca="false">(N11-L11)/L11</f>
        <v>0.15625</v>
      </c>
      <c r="Q11" s="6" t="n">
        <f aca="false">(O11-M11)/M11</f>
        <v>0.16015437</v>
      </c>
    </row>
    <row r="12" customFormat="false" ht="16" hidden="false" customHeight="true" outlineLevel="0" collapsed="false">
      <c r="A12" s="1" t="s">
        <v>10</v>
      </c>
      <c r="B12" s="2" t="n">
        <v>568</v>
      </c>
      <c r="C12" s="2" t="n">
        <v>377</v>
      </c>
      <c r="D12" s="2" t="n">
        <v>672</v>
      </c>
      <c r="E12" s="2" t="n">
        <v>442</v>
      </c>
      <c r="K12" s="1" t="s">
        <v>18</v>
      </c>
      <c r="L12" s="5" t="n">
        <v>1982.5</v>
      </c>
      <c r="M12" s="5" t="n">
        <v>1337</v>
      </c>
      <c r="N12" s="5" t="n">
        <v>2374</v>
      </c>
      <c r="O12" s="5" t="n">
        <v>1582.5</v>
      </c>
      <c r="P12" s="6" t="n">
        <f aca="false">(N12-L12)/L12</f>
        <v>0.19747793</v>
      </c>
      <c r="Q12" s="6" t="n">
        <f aca="false">(O12-M12)/M12</f>
        <v>0.18362004</v>
      </c>
    </row>
    <row r="13" customFormat="false" ht="16" hidden="false" customHeight="true" outlineLevel="0" collapsed="false">
      <c r="A13" s="1" t="s">
        <v>13</v>
      </c>
      <c r="B13" s="2" t="n">
        <v>309</v>
      </c>
      <c r="C13" s="2" t="n">
        <v>462</v>
      </c>
      <c r="D13" s="2" t="n">
        <v>389</v>
      </c>
      <c r="E13" s="2" t="n">
        <v>406</v>
      </c>
      <c r="K13" s="1" t="s">
        <v>19</v>
      </c>
      <c r="L13" s="5" t="n">
        <v>1037</v>
      </c>
      <c r="M13" s="5" t="n">
        <v>1279.5</v>
      </c>
      <c r="N13" s="5" t="n">
        <v>1314</v>
      </c>
      <c r="O13" s="5" t="n">
        <v>1488</v>
      </c>
      <c r="P13" s="6" t="n">
        <f aca="false">(N13-L13)/L13</f>
        <v>0.26711668</v>
      </c>
      <c r="Q13" s="6" t="n">
        <f aca="false">(O13-M13)/M13</f>
        <v>0.16295428</v>
      </c>
    </row>
    <row r="14" customFormat="false" ht="16" hidden="false" customHeight="true" outlineLevel="0" collapsed="false">
      <c r="A14" s="1" t="s">
        <v>15</v>
      </c>
      <c r="B14" s="2" t="n">
        <v>331</v>
      </c>
      <c r="C14" s="2" t="n">
        <v>354</v>
      </c>
      <c r="D14" s="2" t="n">
        <v>399</v>
      </c>
      <c r="E14" s="2" t="n">
        <v>437</v>
      </c>
      <c r="K14" s="1" t="s">
        <v>20</v>
      </c>
      <c r="L14" s="5" t="n">
        <v>1017</v>
      </c>
      <c r="M14" s="5" t="n">
        <v>1176.5</v>
      </c>
      <c r="N14" s="5" t="n">
        <v>1289</v>
      </c>
      <c r="O14" s="5" t="n">
        <v>1495</v>
      </c>
      <c r="P14" s="6" t="n">
        <f aca="false">(N14-L14)/L14</f>
        <v>0.26745329</v>
      </c>
      <c r="Q14" s="6" t="n">
        <f aca="false">(O14-M14)/M14</f>
        <v>0.27071823</v>
      </c>
    </row>
    <row r="15" customFormat="false" ht="16" hidden="false" customHeight="true" outlineLevel="0" collapsed="false"/>
    <row r="16" customFormat="false" ht="16" hidden="false" customHeight="true" outlineLevel="0" collapsed="false">
      <c r="K16" s="3" t="s">
        <v>9</v>
      </c>
      <c r="L16" s="3" t="s">
        <v>9</v>
      </c>
      <c r="M16" s="3" t="s">
        <v>9</v>
      </c>
      <c r="N16" s="3" t="s">
        <v>9</v>
      </c>
      <c r="O16" s="3" t="s">
        <v>9</v>
      </c>
      <c r="P16" s="3" t="s">
        <v>9</v>
      </c>
      <c r="Q16" s="3" t="s">
        <v>9</v>
      </c>
    </row>
    <row r="17" customFormat="false" ht="16" hidden="false" customHeight="true" outlineLevel="0" collapsed="false"/>
    <row r="18" customFormat="false" ht="16" hidden="false" customHeight="true" outlineLevel="0" collapsed="false">
      <c r="K18" s="1" t="s">
        <v>21</v>
      </c>
    </row>
    <row r="19" customFormat="false" ht="16" hidden="false" customHeight="true" outlineLevel="0" collapsed="false">
      <c r="K19" s="1" t="s">
        <v>22</v>
      </c>
    </row>
    <row r="20" customFormat="false" ht="16" hidden="false" customHeight="true" outlineLevel="0" collapsed="false">
      <c r="B20" s="2" t="n">
        <v>1976</v>
      </c>
      <c r="D20" s="2" t="n">
        <v>1985</v>
      </c>
      <c r="F20" s="1" t="s">
        <v>23</v>
      </c>
      <c r="H20" s="1" t="s">
        <v>24</v>
      </c>
    </row>
    <row r="21" customFormat="false" ht="16" hidden="false" customHeight="true" outlineLevel="0" collapsed="false">
      <c r="B21" s="1" t="s">
        <v>5</v>
      </c>
      <c r="C21" s="1" t="s">
        <v>6</v>
      </c>
      <c r="D21" s="1" t="s">
        <v>5</v>
      </c>
      <c r="E21" s="1" t="s">
        <v>6</v>
      </c>
      <c r="F21" s="1" t="s">
        <v>5</v>
      </c>
      <c r="G21" s="1" t="s">
        <v>6</v>
      </c>
      <c r="H21" s="1" t="s">
        <v>5</v>
      </c>
      <c r="I21" s="1" t="s">
        <v>6</v>
      </c>
      <c r="K21" s="1" t="s">
        <v>25</v>
      </c>
    </row>
    <row r="22" customFormat="false" ht="16" hidden="false" customHeight="true" outlineLevel="0" collapsed="false">
      <c r="A22" s="1" t="s">
        <v>26</v>
      </c>
      <c r="K22" s="1" t="s">
        <v>4</v>
      </c>
    </row>
    <row r="23" customFormat="false" ht="16" hidden="false" customHeight="true" outlineLevel="0" collapsed="false">
      <c r="A23" s="1" t="s">
        <v>8</v>
      </c>
      <c r="B23" s="5" t="n">
        <f aca="false">(B6+B11)/2</f>
        <v>324</v>
      </c>
      <c r="C23" s="5" t="n">
        <f aca="false">(C6+C11)/2</f>
        <v>598.5</v>
      </c>
      <c r="D23" s="5" t="n">
        <f aca="false">(D6+D11)/2</f>
        <v>365.5</v>
      </c>
      <c r="E23" s="5" t="n">
        <f aca="false">(E6+E11)/2</f>
        <v>677</v>
      </c>
      <c r="F23" s="5" t="n">
        <f aca="false">D23-B23</f>
        <v>41.5</v>
      </c>
      <c r="G23" s="5" t="n">
        <f aca="false">E23-C23</f>
        <v>78.5</v>
      </c>
      <c r="H23" s="7" t="n">
        <f aca="false">(F23/B23)*100</f>
        <v>12.808642</v>
      </c>
      <c r="I23" s="7" t="n">
        <f aca="false">(G23/C23)*100</f>
        <v>13.116124</v>
      </c>
    </row>
    <row r="24" customFormat="false" ht="16" hidden="false" customHeight="true" outlineLevel="0" collapsed="false">
      <c r="A24" s="1" t="s">
        <v>10</v>
      </c>
      <c r="B24" s="5" t="n">
        <f aca="false">(B7+B12)/2</f>
        <v>596</v>
      </c>
      <c r="C24" s="5" t="n">
        <f aca="false">(C7+C12)/2</f>
        <v>393</v>
      </c>
      <c r="D24" s="5" t="n">
        <f aca="false">(D7+D12)/2</f>
        <v>694</v>
      </c>
      <c r="E24" s="5" t="n">
        <f aca="false">(E7+E12)/2</f>
        <v>445.5</v>
      </c>
      <c r="F24" s="5" t="n">
        <f aca="false">D24-B24</f>
        <v>98</v>
      </c>
      <c r="G24" s="5" t="n">
        <f aca="false">E24-C24</f>
        <v>52.5</v>
      </c>
      <c r="H24" s="7" t="n">
        <f aca="false">(F24/B24)*100</f>
        <v>16.442953</v>
      </c>
      <c r="I24" s="7" t="n">
        <f aca="false">(G24/C24)*100</f>
        <v>13.358779</v>
      </c>
    </row>
    <row r="25" customFormat="false" ht="16" hidden="false" customHeight="true" outlineLevel="0" collapsed="false">
      <c r="A25" s="1" t="s">
        <v>13</v>
      </c>
      <c r="B25" s="5" t="n">
        <f aca="false">(B8+B13)/2</f>
        <v>315</v>
      </c>
      <c r="C25" s="5" t="n">
        <f aca="false">(C8+C13)/2</f>
        <v>467.5</v>
      </c>
      <c r="D25" s="5" t="n">
        <f aca="false">(D8+D13)/2</f>
        <v>392.5</v>
      </c>
      <c r="E25" s="5" t="n">
        <f aca="false">(E8+E13)/2</f>
        <v>418.5</v>
      </c>
      <c r="F25" s="5" t="n">
        <f aca="false">D25-B25</f>
        <v>77.5</v>
      </c>
      <c r="G25" s="5" t="n">
        <f aca="false">E25-C25</f>
        <v>-49</v>
      </c>
      <c r="H25" s="7" t="n">
        <f aca="false">(F25/B25)*100</f>
        <v>24.603175</v>
      </c>
      <c r="I25" s="7" t="n">
        <f aca="false">(G25/C25)*100</f>
        <v>-10.481283</v>
      </c>
      <c r="K25" s="3" t="s">
        <v>9</v>
      </c>
      <c r="L25" s="3" t="s">
        <v>9</v>
      </c>
      <c r="M25" s="3" t="s">
        <v>9</v>
      </c>
      <c r="N25" s="3" t="s">
        <v>9</v>
      </c>
      <c r="O25" s="3" t="s">
        <v>9</v>
      </c>
      <c r="P25" s="3" t="s">
        <v>9</v>
      </c>
      <c r="Q25" s="3" t="s">
        <v>9</v>
      </c>
      <c r="R25" s="3" t="s">
        <v>9</v>
      </c>
      <c r="S25" s="3" t="s">
        <v>9</v>
      </c>
    </row>
    <row r="26" customFormat="false" ht="16" hidden="false" customHeight="true" outlineLevel="0" collapsed="false">
      <c r="A26" s="1" t="s">
        <v>15</v>
      </c>
      <c r="B26" s="5" t="n">
        <f aca="false">(B9+B14)/2</f>
        <v>312.5</v>
      </c>
      <c r="C26" s="5" t="n">
        <f aca="false">(C9+C14)/2</f>
        <v>348.5</v>
      </c>
      <c r="D26" s="5" t="n">
        <f aca="false">(D9+D14)/2</f>
        <v>386.5</v>
      </c>
      <c r="E26" s="5" t="n">
        <f aca="false">(E9+E14)/2</f>
        <v>431.5</v>
      </c>
      <c r="F26" s="5" t="n">
        <f aca="false">D26-B26</f>
        <v>74</v>
      </c>
      <c r="G26" s="5" t="n">
        <f aca="false">E26-C26</f>
        <v>83</v>
      </c>
      <c r="H26" s="7" t="n">
        <f aca="false">(F26/B26)*100</f>
        <v>23.68</v>
      </c>
      <c r="I26" s="7" t="n">
        <f aca="false">(G26/C26)*100</f>
        <v>23.816356</v>
      </c>
      <c r="K26" s="4" t="s">
        <v>11</v>
      </c>
      <c r="L26" s="2" t="n">
        <v>1976</v>
      </c>
      <c r="N26" s="2" t="n">
        <v>1985</v>
      </c>
      <c r="P26" s="1" t="s">
        <v>12</v>
      </c>
    </row>
    <row r="27" customFormat="false" ht="16" hidden="false" customHeight="true" outlineLevel="0" collapsed="false">
      <c r="K27" s="4" t="s">
        <v>14</v>
      </c>
      <c r="L27" s="1" t="s">
        <v>5</v>
      </c>
      <c r="M27" s="1" t="s">
        <v>6</v>
      </c>
      <c r="N27" s="1" t="s">
        <v>5</v>
      </c>
      <c r="O27" s="1" t="s">
        <v>6</v>
      </c>
      <c r="P27" s="1" t="s">
        <v>5</v>
      </c>
      <c r="Q27" s="1" t="s">
        <v>6</v>
      </c>
    </row>
    <row r="28" customFormat="false" ht="16" hidden="false" customHeight="true" outlineLevel="0" collapsed="false">
      <c r="K28" s="3" t="s">
        <v>9</v>
      </c>
      <c r="L28" s="3" t="s">
        <v>9</v>
      </c>
      <c r="M28" s="3" t="s">
        <v>9</v>
      </c>
      <c r="N28" s="3" t="s">
        <v>9</v>
      </c>
      <c r="O28" s="3" t="s">
        <v>9</v>
      </c>
      <c r="P28" s="3" t="s">
        <v>9</v>
      </c>
      <c r="Q28" s="3" t="s">
        <v>9</v>
      </c>
    </row>
    <row r="29" customFormat="false" ht="16" hidden="false" customHeight="true" outlineLevel="0" collapsed="false">
      <c r="A29" s="1" t="s">
        <v>27</v>
      </c>
    </row>
    <row r="30" customFormat="false" ht="16" hidden="false" customHeight="true" outlineLevel="0" collapsed="false">
      <c r="B30" s="2" t="n">
        <v>1976</v>
      </c>
      <c r="D30" s="2" t="n">
        <v>1985</v>
      </c>
      <c r="K30" s="1" t="s">
        <v>17</v>
      </c>
      <c r="L30" s="5" t="n">
        <v>324</v>
      </c>
      <c r="M30" s="5" t="n">
        <v>598.5</v>
      </c>
      <c r="N30" s="5" t="n">
        <v>365.5</v>
      </c>
      <c r="O30" s="5" t="n">
        <v>677</v>
      </c>
      <c r="P30" s="6" t="n">
        <f aca="false">(N11-L11)/L11</f>
        <v>0.15625</v>
      </c>
      <c r="Q30" s="6" t="n">
        <f aca="false">(O11-M11)/M11</f>
        <v>0.16015437</v>
      </c>
    </row>
    <row r="31" customFormat="false" ht="16" hidden="false" customHeight="true" outlineLevel="0" collapsed="false">
      <c r="B31" s="1" t="s">
        <v>5</v>
      </c>
      <c r="C31" s="1" t="s">
        <v>6</v>
      </c>
      <c r="D31" s="1" t="s">
        <v>5</v>
      </c>
      <c r="E31" s="1" t="s">
        <v>6</v>
      </c>
      <c r="K31" s="1" t="s">
        <v>18</v>
      </c>
      <c r="L31" s="5" t="n">
        <v>596</v>
      </c>
      <c r="M31" s="5" t="n">
        <v>393</v>
      </c>
      <c r="N31" s="5" t="n">
        <v>694</v>
      </c>
      <c r="O31" s="5" t="n">
        <v>445.5</v>
      </c>
      <c r="P31" s="6" t="n">
        <f aca="false">(N12-L12)/L12</f>
        <v>0.19747793</v>
      </c>
      <c r="Q31" s="6" t="n">
        <f aca="false">(O12-M12)/M12</f>
        <v>0.18362004</v>
      </c>
    </row>
    <row r="32" customFormat="false" ht="16" hidden="false" customHeight="true" outlineLevel="0" collapsed="false">
      <c r="A32" s="1" t="s">
        <v>7</v>
      </c>
      <c r="K32" s="1" t="s">
        <v>19</v>
      </c>
      <c r="L32" s="5" t="n">
        <v>315</v>
      </c>
      <c r="M32" s="5" t="n">
        <v>467.5</v>
      </c>
      <c r="N32" s="5" t="n">
        <v>392.5</v>
      </c>
      <c r="O32" s="5" t="n">
        <v>418.5</v>
      </c>
      <c r="P32" s="6" t="n">
        <f aca="false">(N13-L13)/L13</f>
        <v>0.26711668</v>
      </c>
      <c r="Q32" s="6" t="n">
        <f aca="false">(O13-M13)/M13</f>
        <v>0.16295428</v>
      </c>
    </row>
    <row r="33" customFormat="false" ht="16" hidden="false" customHeight="true" outlineLevel="0" collapsed="false">
      <c r="A33" s="1" t="s">
        <v>8</v>
      </c>
      <c r="B33" s="2" t="n">
        <v>991</v>
      </c>
      <c r="C33" s="2" t="n">
        <v>1975</v>
      </c>
      <c r="D33" s="2" t="n">
        <v>1171</v>
      </c>
      <c r="E33" s="2" t="n">
        <v>2328</v>
      </c>
      <c r="K33" s="1" t="s">
        <v>20</v>
      </c>
      <c r="L33" s="5" t="n">
        <v>312.5</v>
      </c>
      <c r="M33" s="5" t="n">
        <v>348.5</v>
      </c>
      <c r="N33" s="5" t="n">
        <v>386.5</v>
      </c>
      <c r="O33" s="5" t="n">
        <v>431.5</v>
      </c>
      <c r="P33" s="6" t="n">
        <f aca="false">(N14-L14)/L14</f>
        <v>0.26745329</v>
      </c>
      <c r="Q33" s="6" t="n">
        <f aca="false">(O14-M14)/M14</f>
        <v>0.27071823</v>
      </c>
    </row>
    <row r="34" customFormat="false" ht="16" hidden="false" customHeight="true" outlineLevel="0" collapsed="false">
      <c r="A34" s="1" t="s">
        <v>10</v>
      </c>
      <c r="B34" s="2" t="n">
        <v>2081</v>
      </c>
      <c r="C34" s="2" t="n">
        <v>1395</v>
      </c>
      <c r="D34" s="2" t="n">
        <v>2460</v>
      </c>
      <c r="E34" s="2" t="n">
        <v>1608</v>
      </c>
      <c r="K34" s="3" t="s">
        <v>9</v>
      </c>
      <c r="L34" s="3" t="s">
        <v>9</v>
      </c>
      <c r="M34" s="3" t="s">
        <v>9</v>
      </c>
      <c r="N34" s="3" t="s">
        <v>9</v>
      </c>
      <c r="O34" s="3" t="s">
        <v>9</v>
      </c>
      <c r="P34" s="3" t="s">
        <v>9</v>
      </c>
      <c r="Q34" s="3" t="s">
        <v>9</v>
      </c>
    </row>
    <row r="35" customFormat="false" ht="16" hidden="false" customHeight="true" outlineLevel="0" collapsed="false">
      <c r="A35" s="1" t="s">
        <v>13</v>
      </c>
      <c r="B35" s="2" t="n">
        <v>1048</v>
      </c>
      <c r="C35" s="2" t="n">
        <v>1313</v>
      </c>
      <c r="D35" s="2" t="n">
        <v>1326</v>
      </c>
      <c r="E35" s="2" t="n">
        <v>1531</v>
      </c>
      <c r="K35" s="1" t="s">
        <v>28</v>
      </c>
    </row>
    <row r="36" customFormat="false" ht="16" hidden="false" customHeight="true" outlineLevel="0" collapsed="false">
      <c r="A36" s="1" t="s">
        <v>15</v>
      </c>
      <c r="B36" s="2" t="n">
        <v>963</v>
      </c>
      <c r="C36" s="2" t="n">
        <v>1168</v>
      </c>
      <c r="D36" s="2" t="n">
        <v>1238</v>
      </c>
      <c r="E36" s="2" t="n">
        <v>1480</v>
      </c>
      <c r="K36" s="1" t="s">
        <v>29</v>
      </c>
    </row>
    <row r="37" customFormat="false" ht="16" hidden="false" customHeight="true" outlineLevel="0" collapsed="false">
      <c r="A37" s="1" t="s">
        <v>16</v>
      </c>
    </row>
    <row r="38" customFormat="false" ht="16" hidden="false" customHeight="true" outlineLevel="0" collapsed="false">
      <c r="A38" s="1" t="s">
        <v>8</v>
      </c>
      <c r="B38" s="2" t="n">
        <v>1057</v>
      </c>
      <c r="C38" s="2" t="n">
        <v>2171</v>
      </c>
      <c r="D38" s="2" t="n">
        <v>1197</v>
      </c>
      <c r="E38" s="2" t="n">
        <v>2482</v>
      </c>
    </row>
    <row r="39" customFormat="false" ht="16" hidden="false" customHeight="true" outlineLevel="0" collapsed="false">
      <c r="A39" s="1" t="s">
        <v>10</v>
      </c>
      <c r="B39" s="2" t="n">
        <v>1884</v>
      </c>
      <c r="C39" s="2" t="n">
        <v>1279</v>
      </c>
      <c r="D39" s="2" t="n">
        <v>2288</v>
      </c>
      <c r="E39" s="2" t="n">
        <v>1557</v>
      </c>
    </row>
    <row r="40" customFormat="false" ht="16" hidden="false" customHeight="true" outlineLevel="0" collapsed="false">
      <c r="A40" s="1" t="s">
        <v>13</v>
      </c>
      <c r="B40" s="2" t="n">
        <v>1026</v>
      </c>
      <c r="C40" s="2" t="n">
        <v>1246</v>
      </c>
      <c r="D40" s="2" t="n">
        <v>1302</v>
      </c>
      <c r="E40" s="2" t="n">
        <v>1445</v>
      </c>
      <c r="K40" s="1" t="s">
        <v>30</v>
      </c>
    </row>
    <row r="41" customFormat="false" ht="16" hidden="false" customHeight="true" outlineLevel="0" collapsed="false">
      <c r="A41" s="1" t="s">
        <v>15</v>
      </c>
      <c r="B41" s="2" t="n">
        <v>1071</v>
      </c>
      <c r="C41" s="2" t="n">
        <v>1185</v>
      </c>
      <c r="D41" s="2" t="n">
        <v>1340</v>
      </c>
      <c r="E41" s="2" t="n">
        <v>1510</v>
      </c>
      <c r="K41" s="1" t="s">
        <v>31</v>
      </c>
    </row>
    <row r="42" customFormat="false" ht="16" hidden="false" customHeight="true" outlineLevel="0" collapsed="false">
      <c r="K42" s="1" t="s">
        <v>32</v>
      </c>
    </row>
    <row r="43" customFormat="false" ht="16" hidden="false" customHeight="true" outlineLevel="0" collapsed="false">
      <c r="B43" s="2" t="n">
        <v>1976</v>
      </c>
      <c r="D43" s="2" t="n">
        <v>1985</v>
      </c>
      <c r="F43" s="1" t="s">
        <v>23</v>
      </c>
      <c r="H43" s="1" t="s">
        <v>24</v>
      </c>
    </row>
    <row r="44" customFormat="false" ht="16" hidden="false" customHeight="true" outlineLevel="0" collapsed="false">
      <c r="B44" s="1" t="s">
        <v>5</v>
      </c>
      <c r="C44" s="1" t="s">
        <v>6</v>
      </c>
      <c r="D44" s="1" t="s">
        <v>5</v>
      </c>
      <c r="E44" s="1" t="s">
        <v>6</v>
      </c>
      <c r="F44" s="1" t="s">
        <v>5</v>
      </c>
      <c r="G44" s="1" t="s">
        <v>6</v>
      </c>
      <c r="H44" s="1" t="s">
        <v>5</v>
      </c>
      <c r="I44" s="1" t="s">
        <v>6</v>
      </c>
      <c r="K44" s="3" t="s">
        <v>9</v>
      </c>
      <c r="L44" s="3" t="s">
        <v>9</v>
      </c>
      <c r="M44" s="3" t="s">
        <v>9</v>
      </c>
      <c r="N44" s="3" t="s">
        <v>9</v>
      </c>
      <c r="O44" s="3" t="s">
        <v>9</v>
      </c>
    </row>
    <row r="45" customFormat="false" ht="16" hidden="false" customHeight="true" outlineLevel="0" collapsed="false">
      <c r="A45" s="1" t="s">
        <v>26</v>
      </c>
      <c r="K45" s="4" t="s">
        <v>11</v>
      </c>
      <c r="L45" s="2" t="n">
        <v>1976</v>
      </c>
      <c r="N45" s="2" t="n">
        <v>1985</v>
      </c>
    </row>
    <row r="46" customFormat="false" ht="16" hidden="false" customHeight="true" outlineLevel="0" collapsed="false">
      <c r="A46" s="1" t="s">
        <v>8</v>
      </c>
      <c r="B46" s="5" t="n">
        <f aca="false">(B33+B38)/2</f>
        <v>1024</v>
      </c>
      <c r="C46" s="5" t="n">
        <f aca="false">(C33+C38)/2</f>
        <v>2073</v>
      </c>
      <c r="D46" s="5" t="n">
        <f aca="false">(D33+D38)/2</f>
        <v>1184</v>
      </c>
      <c r="E46" s="5" t="n">
        <f aca="false">(E33+E38)/2</f>
        <v>2405</v>
      </c>
      <c r="F46" s="5" t="n">
        <f aca="false">D46-B46</f>
        <v>160</v>
      </c>
      <c r="G46" s="5" t="n">
        <f aca="false">E46-C46</f>
        <v>332</v>
      </c>
      <c r="H46" s="8" t="n">
        <f aca="false">F46/B46</f>
        <v>0.15625</v>
      </c>
      <c r="I46" s="8" t="n">
        <f aca="false">G46/C46</f>
        <v>0.16015437</v>
      </c>
      <c r="K46" s="4" t="s">
        <v>14</v>
      </c>
      <c r="L46" s="1" t="s">
        <v>5</v>
      </c>
      <c r="M46" s="1" t="s">
        <v>6</v>
      </c>
      <c r="N46" s="1" t="s">
        <v>5</v>
      </c>
      <c r="O46" s="1" t="s">
        <v>6</v>
      </c>
    </row>
    <row r="47" customFormat="false" ht="16" hidden="false" customHeight="true" outlineLevel="0" collapsed="false">
      <c r="A47" s="1" t="s">
        <v>10</v>
      </c>
      <c r="B47" s="5" t="n">
        <f aca="false">(B34+B39)/2</f>
        <v>1982.5</v>
      </c>
      <c r="C47" s="5" t="n">
        <f aca="false">(C34+C39)/2</f>
        <v>1337</v>
      </c>
      <c r="D47" s="5" t="n">
        <f aca="false">(D34+D39)/2</f>
        <v>2374</v>
      </c>
      <c r="E47" s="5" t="n">
        <f aca="false">(E34+E39)/2</f>
        <v>1582.5</v>
      </c>
      <c r="F47" s="5" t="n">
        <f aca="false">D47-B47</f>
        <v>391.5</v>
      </c>
      <c r="G47" s="5" t="n">
        <f aca="false">E47-C47</f>
        <v>245.5</v>
      </c>
      <c r="H47" s="8" t="n">
        <f aca="false">F47/B47</f>
        <v>0.19747793</v>
      </c>
      <c r="I47" s="8" t="n">
        <f aca="false">G47/C47</f>
        <v>0.18362004</v>
      </c>
      <c r="K47" s="3" t="s">
        <v>9</v>
      </c>
      <c r="L47" s="3" t="s">
        <v>9</v>
      </c>
      <c r="M47" s="3" t="s">
        <v>9</v>
      </c>
      <c r="N47" s="3" t="s">
        <v>9</v>
      </c>
      <c r="O47" s="3" t="s">
        <v>9</v>
      </c>
    </row>
    <row r="48" customFormat="false" ht="16" hidden="false" customHeight="true" outlineLevel="0" collapsed="false">
      <c r="A48" s="1" t="s">
        <v>13</v>
      </c>
      <c r="B48" s="5" t="n">
        <f aca="false">(B35+B40)/2</f>
        <v>1037</v>
      </c>
      <c r="C48" s="5" t="n">
        <f aca="false">(C35+C40)/2</f>
        <v>1279.5</v>
      </c>
      <c r="D48" s="5" t="n">
        <f aca="false">(D35+D40)/2</f>
        <v>1314</v>
      </c>
      <c r="E48" s="5" t="n">
        <f aca="false">(E35+E40)/2</f>
        <v>1488</v>
      </c>
      <c r="F48" s="5" t="n">
        <f aca="false">D48-B48</f>
        <v>277</v>
      </c>
      <c r="G48" s="5" t="n">
        <f aca="false">E48-C48</f>
        <v>208.5</v>
      </c>
      <c r="H48" s="8" t="n">
        <f aca="false">F48/B48</f>
        <v>0.26711668</v>
      </c>
      <c r="I48" s="8" t="n">
        <f aca="false">G48/C48</f>
        <v>0.16295428</v>
      </c>
    </row>
    <row r="49" customFormat="false" ht="16" hidden="false" customHeight="true" outlineLevel="0" collapsed="false">
      <c r="A49" s="1" t="s">
        <v>15</v>
      </c>
      <c r="B49" s="5" t="n">
        <f aca="false">(B36+B41)/2</f>
        <v>1017</v>
      </c>
      <c r="C49" s="5" t="n">
        <f aca="false">(C36+C41)/2</f>
        <v>1176.5</v>
      </c>
      <c r="D49" s="5" t="n">
        <f aca="false">(D36+D41)/2</f>
        <v>1289</v>
      </c>
      <c r="E49" s="5" t="n">
        <f aca="false">(E36+E41)/2</f>
        <v>1495</v>
      </c>
      <c r="F49" s="5" t="n">
        <f aca="false">D49-B49</f>
        <v>272</v>
      </c>
      <c r="G49" s="5" t="n">
        <f aca="false">E49-C49</f>
        <v>318.5</v>
      </c>
      <c r="H49" s="8" t="n">
        <f aca="false">F49/B49</f>
        <v>0.26745329</v>
      </c>
      <c r="I49" s="8" t="n">
        <f aca="false">G49/C49</f>
        <v>0.27071823</v>
      </c>
      <c r="K49" s="1" t="s">
        <v>17</v>
      </c>
      <c r="L49" s="8" t="n">
        <v>0.31640625</v>
      </c>
      <c r="M49" s="8" t="n">
        <v>0.28871201</v>
      </c>
      <c r="N49" s="8" t="n">
        <v>0.30869932</v>
      </c>
      <c r="O49" s="8" t="n">
        <v>0.28149688</v>
      </c>
    </row>
    <row r="50" customFormat="false" ht="16" hidden="false" customHeight="true" outlineLevel="0" collapsed="false">
      <c r="K50" s="1" t="s">
        <v>18</v>
      </c>
      <c r="L50" s="8" t="n">
        <v>0.30063052</v>
      </c>
      <c r="M50" s="8" t="n">
        <v>0.29394166</v>
      </c>
      <c r="N50" s="8" t="n">
        <v>0.29233361</v>
      </c>
      <c r="O50" s="8" t="n">
        <v>0.28151659</v>
      </c>
    </row>
    <row r="51" customFormat="false" ht="16" hidden="false" customHeight="true" outlineLevel="0" collapsed="false">
      <c r="K51" s="1" t="s">
        <v>19</v>
      </c>
      <c r="L51" s="8" t="n">
        <v>0.30376085</v>
      </c>
      <c r="M51" s="8" t="n">
        <v>0.3653771</v>
      </c>
      <c r="N51" s="8" t="n">
        <v>0.29870624</v>
      </c>
      <c r="O51" s="8" t="n">
        <v>0.28125</v>
      </c>
    </row>
    <row r="52" customFormat="false" ht="16" hidden="false" customHeight="true" outlineLevel="0" collapsed="false">
      <c r="A52" s="1" t="s">
        <v>33</v>
      </c>
      <c r="K52" s="1" t="s">
        <v>20</v>
      </c>
      <c r="L52" s="8" t="n">
        <v>0.3072763</v>
      </c>
      <c r="M52" s="8" t="n">
        <v>0.29621759</v>
      </c>
      <c r="N52" s="8" t="n">
        <v>0.29984484</v>
      </c>
      <c r="O52" s="8" t="n">
        <v>0.28862876</v>
      </c>
    </row>
    <row r="53" customFormat="false" ht="16" hidden="false" customHeight="true" outlineLevel="0" collapsed="false">
      <c r="B53" s="2" t="n">
        <v>1976</v>
      </c>
      <c r="D53" s="2" t="n">
        <v>1985</v>
      </c>
    </row>
    <row r="54" customFormat="false" ht="16" hidden="false" customHeight="true" outlineLevel="0" collapsed="false">
      <c r="B54" s="1" t="s">
        <v>5</v>
      </c>
      <c r="C54" s="1" t="s">
        <v>6</v>
      </c>
      <c r="D54" s="1" t="s">
        <v>5</v>
      </c>
      <c r="E54" s="1" t="s">
        <v>6</v>
      </c>
      <c r="K54" s="3" t="s">
        <v>9</v>
      </c>
      <c r="L54" s="3" t="s">
        <v>9</v>
      </c>
      <c r="M54" s="3" t="s">
        <v>9</v>
      </c>
      <c r="N54" s="3" t="s">
        <v>9</v>
      </c>
      <c r="O54" s="3" t="s">
        <v>9</v>
      </c>
    </row>
    <row r="55" customFormat="false" ht="16" hidden="false" customHeight="true" outlineLevel="0" collapsed="false">
      <c r="A55" s="1" t="s">
        <v>8</v>
      </c>
      <c r="B55" s="8" t="n">
        <f aca="false">B23/B46</f>
        <v>0.31640625</v>
      </c>
      <c r="C55" s="8" t="n">
        <f aca="false">C23/C46</f>
        <v>0.28871201</v>
      </c>
      <c r="D55" s="8" t="n">
        <f aca="false">D23/D46</f>
        <v>0.30869932</v>
      </c>
      <c r="E55" s="8" t="n">
        <f aca="false">E23/E46</f>
        <v>0.28149688</v>
      </c>
    </row>
    <row r="56" customFormat="false" ht="16" hidden="false" customHeight="true" outlineLevel="0" collapsed="false">
      <c r="A56" s="1" t="s">
        <v>10</v>
      </c>
      <c r="B56" s="8" t="n">
        <f aca="false">B24/B47</f>
        <v>0.30063052</v>
      </c>
      <c r="C56" s="8" t="n">
        <f aca="false">C24/C47</f>
        <v>0.29394166</v>
      </c>
      <c r="D56" s="8" t="n">
        <f aca="false">D24/D47</f>
        <v>0.29233361</v>
      </c>
      <c r="E56" s="8" t="n">
        <f aca="false">E24/E47</f>
        <v>0.28151659</v>
      </c>
    </row>
    <row r="57" customFormat="false" ht="16" hidden="false" customHeight="true" outlineLevel="0" collapsed="false">
      <c r="A57" s="1" t="s">
        <v>13</v>
      </c>
      <c r="B57" s="8" t="n">
        <f aca="false">B25/B48</f>
        <v>0.30376085</v>
      </c>
      <c r="C57" s="8" t="n">
        <f aca="false">C25/C48</f>
        <v>0.3653771</v>
      </c>
      <c r="D57" s="8" t="n">
        <f aca="false">D25/D48</f>
        <v>0.29870624</v>
      </c>
      <c r="E57" s="8" t="n">
        <f aca="false">E25/E48</f>
        <v>0.28125</v>
      </c>
    </row>
    <row r="58" customFormat="false" ht="16" hidden="false" customHeight="true" outlineLevel="0" collapsed="false">
      <c r="A58" s="1" t="s">
        <v>15</v>
      </c>
      <c r="B58" s="8" t="n">
        <f aca="false">B26/B49</f>
        <v>0.3072763</v>
      </c>
      <c r="C58" s="8" t="n">
        <f aca="false">C26/C49</f>
        <v>0.29621759</v>
      </c>
      <c r="D58" s="8" t="n">
        <f aca="false">D26/D49</f>
        <v>0.29984484</v>
      </c>
      <c r="E58" s="8" t="n">
        <f aca="false">E26/E49</f>
        <v>0.28862876</v>
      </c>
      <c r="K58" s="1" t="s">
        <v>34</v>
      </c>
    </row>
    <row r="59" customFormat="false" ht="16" hidden="false" customHeight="true" outlineLevel="0" collapsed="false">
      <c r="K59" s="1" t="s">
        <v>35</v>
      </c>
    </row>
    <row r="60" customFormat="false" ht="16" hidden="false" customHeight="true" outlineLevel="0" collapsed="false">
      <c r="K60" s="1" t="s">
        <v>36</v>
      </c>
    </row>
    <row r="61" customFormat="false" ht="16" hidden="false" customHeight="true" outlineLevel="0" collapsed="false"/>
    <row r="62" customFormat="false" ht="16" hidden="false" customHeight="true" outlineLevel="0" collapsed="false"/>
    <row r="63" customFormat="false" ht="16" hidden="false" customHeight="true" outlineLevel="0" collapsed="false">
      <c r="K63" s="3" t="s">
        <v>9</v>
      </c>
      <c r="L63" s="3" t="s">
        <v>9</v>
      </c>
      <c r="M63" s="3" t="s">
        <v>9</v>
      </c>
      <c r="N63" s="3" t="s">
        <v>9</v>
      </c>
      <c r="O63" s="3" t="s">
        <v>9</v>
      </c>
    </row>
    <row r="64" customFormat="false" ht="16" hidden="false" customHeight="true" outlineLevel="0" collapsed="false">
      <c r="K64" s="4" t="s">
        <v>11</v>
      </c>
    </row>
    <row r="65" customFormat="false" ht="16" hidden="false" customHeight="true" outlineLevel="0" collapsed="false">
      <c r="K65" s="4" t="s">
        <v>14</v>
      </c>
      <c r="M65" s="4" t="s">
        <v>37</v>
      </c>
      <c r="N65" s="4" t="s">
        <v>38</v>
      </c>
      <c r="O65" s="1" t="s">
        <v>12</v>
      </c>
    </row>
    <row r="66" customFormat="false" ht="16" hidden="false" customHeight="true" outlineLevel="0" collapsed="false">
      <c r="K66" s="3" t="s">
        <v>9</v>
      </c>
      <c r="L66" s="3" t="s">
        <v>9</v>
      </c>
      <c r="M66" s="3" t="s">
        <v>9</v>
      </c>
      <c r="N66" s="3" t="s">
        <v>9</v>
      </c>
      <c r="O66" s="3" t="s">
        <v>9</v>
      </c>
    </row>
    <row r="67" customFormat="false" ht="16" hidden="false" customHeight="true" outlineLevel="0" collapsed="false"/>
    <row r="68" customFormat="false" ht="16" hidden="false" customHeight="true" outlineLevel="0" collapsed="false">
      <c r="K68" s="1" t="s">
        <v>39</v>
      </c>
      <c r="M68" s="2" t="n">
        <v>90</v>
      </c>
      <c r="N68" s="2" t="n">
        <v>31</v>
      </c>
      <c r="O68" s="6" t="n">
        <f aca="false">((N68-M68)/M68)</f>
        <v>-0.65555556</v>
      </c>
    </row>
    <row r="69" customFormat="false" ht="16" hidden="false" customHeight="true" outlineLevel="0" collapsed="false">
      <c r="K69" s="1" t="s">
        <v>40</v>
      </c>
      <c r="M69" s="2" t="n">
        <v>313</v>
      </c>
      <c r="N69" s="2" t="n">
        <v>399</v>
      </c>
      <c r="O69" s="6" t="n">
        <f aca="false">((N69-M69)/M69)</f>
        <v>0.27476038</v>
      </c>
    </row>
    <row r="70" customFormat="false" ht="16" hidden="false" customHeight="true" outlineLevel="0" collapsed="false">
      <c r="K70" s="1" t="s">
        <v>41</v>
      </c>
      <c r="M70" s="2" t="n">
        <v>140</v>
      </c>
      <c r="N70" s="2" t="n">
        <v>181</v>
      </c>
      <c r="O70" s="6" t="n">
        <f aca="false">((N70-M70)/M70)</f>
        <v>0.29285714</v>
      </c>
    </row>
    <row r="71" customFormat="false" ht="16" hidden="false" customHeight="true" outlineLevel="0" collapsed="false">
      <c r="K71" s="1" t="s">
        <v>42</v>
      </c>
      <c r="M71" s="2" t="n">
        <v>263</v>
      </c>
      <c r="N71" s="2" t="n">
        <v>199</v>
      </c>
      <c r="O71" s="6" t="n">
        <f aca="false">((N71-M71)/M71)</f>
        <v>-0.24334601</v>
      </c>
    </row>
    <row r="72" customFormat="false" ht="16" hidden="false" customHeight="true" outlineLevel="0" collapsed="false"/>
    <row r="73" customFormat="false" ht="16" hidden="false" customHeight="true" outlineLevel="0" collapsed="false">
      <c r="K73" s="3" t="s">
        <v>9</v>
      </c>
      <c r="L73" s="3" t="s">
        <v>9</v>
      </c>
      <c r="M73" s="3" t="s">
        <v>9</v>
      </c>
      <c r="N73" s="3" t="s">
        <v>9</v>
      </c>
      <c r="O73" s="3" t="s">
        <v>9</v>
      </c>
    </row>
    <row r="74" customFormat="false" ht="16" hidden="false" customHeight="true" outlineLevel="0" collapsed="false"/>
    <row r="75" customFormat="false" ht="16" hidden="false" customHeight="true" outlineLevel="0" collapsed="false"/>
    <row r="76" customFormat="false" ht="16" hidden="false" customHeight="true" outlineLevel="0" collapsed="false"/>
    <row r="77" customFormat="false" ht="16" hidden="false" customHeight="true" outlineLevel="0" collapsed="false"/>
    <row r="78" customFormat="false" ht="16" hidden="false" customHeight="true" outlineLevel="0" collapsed="false">
      <c r="K78" s="1" t="s">
        <v>43</v>
      </c>
    </row>
    <row r="79" customFormat="false" ht="16" hidden="false" customHeight="true" outlineLevel="0" collapsed="false"/>
    <row r="80" customFormat="false" ht="16" hidden="false" customHeight="true" outlineLevel="0" collapsed="false"/>
    <row r="81" customFormat="false" ht="16" hidden="false" customHeight="true" outlineLevel="0" collapsed="false">
      <c r="K81" s="3" t="s">
        <v>9</v>
      </c>
      <c r="L81" s="3" t="s">
        <v>9</v>
      </c>
      <c r="M81" s="3" t="s">
        <v>9</v>
      </c>
      <c r="N81" s="3" t="s">
        <v>9</v>
      </c>
      <c r="O81" s="3" t="s">
        <v>9</v>
      </c>
    </row>
    <row r="82" customFormat="false" ht="16" hidden="false" customHeight="true" outlineLevel="0" collapsed="false">
      <c r="M82" s="2" t="n">
        <v>1976</v>
      </c>
      <c r="N82" s="2" t="n">
        <v>1985</v>
      </c>
      <c r="O82" s="1" t="s">
        <v>44</v>
      </c>
    </row>
    <row r="83" customFormat="false" ht="16" hidden="false" customHeight="true" outlineLevel="0" collapsed="false">
      <c r="K83" s="3" t="s">
        <v>9</v>
      </c>
      <c r="L83" s="3" t="s">
        <v>9</v>
      </c>
      <c r="M83" s="3" t="s">
        <v>9</v>
      </c>
      <c r="N83" s="3" t="s">
        <v>9</v>
      </c>
      <c r="O83" s="3" t="s">
        <v>9</v>
      </c>
    </row>
    <row r="84" customFormat="false" ht="16" hidden="false" customHeight="true" outlineLevel="0" collapsed="false">
      <c r="K84" s="1" t="s">
        <v>45</v>
      </c>
      <c r="M84" s="2" t="n">
        <v>193600</v>
      </c>
      <c r="N84" s="2" t="n">
        <v>236000</v>
      </c>
      <c r="O84" s="6" t="n">
        <f aca="false">(N84-M84)/M84</f>
        <v>0.21900826</v>
      </c>
    </row>
    <row r="85" customFormat="false" ht="16" hidden="false" customHeight="true" outlineLevel="0" collapsed="false">
      <c r="K85" s="1" t="s">
        <v>46</v>
      </c>
      <c r="M85" s="2" t="n">
        <v>585000</v>
      </c>
      <c r="N85" s="2" t="n">
        <v>628000</v>
      </c>
      <c r="O85" s="6" t="n">
        <f aca="false">(N85-M85)/M85</f>
        <v>0.073504274</v>
      </c>
    </row>
    <row r="86" customFormat="false" ht="16" hidden="false" customHeight="true" outlineLevel="0" collapsed="false">
      <c r="K86" s="1" t="s">
        <v>47</v>
      </c>
      <c r="M86" s="8" t="n">
        <f aca="false">M85/M84</f>
        <v>3.0216942</v>
      </c>
      <c r="N86" s="8" t="n">
        <f aca="false">N85/N84</f>
        <v>2.6610169</v>
      </c>
      <c r="O86" s="6" t="n">
        <f aca="false">(N86-M86)/M86</f>
        <v>-0.1193626</v>
      </c>
    </row>
    <row r="87" customFormat="false" ht="16" hidden="false" customHeight="true" outlineLevel="0" collapsed="false">
      <c r="K87" s="1" t="s">
        <v>48</v>
      </c>
      <c r="M87" s="2" t="n">
        <v>274000</v>
      </c>
      <c r="N87" s="2" t="n">
        <v>330000</v>
      </c>
      <c r="O87" s="6" t="n">
        <f aca="false">(N87-M87)/M87</f>
        <v>0.20437956</v>
      </c>
    </row>
    <row r="88" customFormat="false" ht="16" hidden="false" customHeight="true" outlineLevel="0" collapsed="false">
      <c r="K88" s="1" t="s">
        <v>49</v>
      </c>
      <c r="M88" s="2" t="n">
        <v>374827</v>
      </c>
      <c r="N88" s="2" t="n">
        <v>527742</v>
      </c>
      <c r="O88" s="6" t="n">
        <f aca="false">(N88-M88)/M88</f>
        <v>0.40796154</v>
      </c>
    </row>
    <row r="89" customFormat="false" ht="16" hidden="false" customHeight="true" outlineLevel="0" collapsed="false">
      <c r="K89" s="1" t="s">
        <v>50</v>
      </c>
      <c r="M89" s="8" t="n">
        <f aca="false">M88/M84</f>
        <v>1.9360899</v>
      </c>
      <c r="N89" s="8" t="n">
        <f aca="false">N88/N84</f>
        <v>2.2361949</v>
      </c>
      <c r="O89" s="6" t="n">
        <f aca="false">(N89-M89)/M89</f>
        <v>0.15500574</v>
      </c>
    </row>
    <row r="90" customFormat="false" ht="16" hidden="false" customHeight="true" outlineLevel="0" collapsed="false">
      <c r="K90" s="1" t="s">
        <v>51</v>
      </c>
      <c r="M90" s="6" t="n">
        <v>0.6</v>
      </c>
      <c r="N90" s="6" t="n">
        <v>0.77</v>
      </c>
      <c r="O90" s="6" t="n">
        <f aca="false">(N90-M90)/M90</f>
        <v>0.28333333</v>
      </c>
    </row>
    <row r="91" customFormat="false" ht="16" hidden="false" customHeight="true" outlineLevel="0" collapsed="false">
      <c r="K91" s="1" t="s">
        <v>52</v>
      </c>
      <c r="M91" s="2" t="n">
        <v>1098</v>
      </c>
      <c r="N91" s="2" t="n">
        <v>1122</v>
      </c>
      <c r="O91" s="6" t="n">
        <f aca="false">(N91-M91)/M91</f>
        <v>0.021857923</v>
      </c>
    </row>
    <row r="92" customFormat="false" ht="16" hidden="false" customHeight="true" outlineLevel="0" collapsed="false">
      <c r="K92" s="1" t="s">
        <v>53</v>
      </c>
      <c r="M92" s="2" t="n">
        <v>2586275</v>
      </c>
      <c r="N92" s="2" t="n">
        <v>3490378</v>
      </c>
      <c r="O92" s="6" t="n">
        <f aca="false">(N92-M92)/M92</f>
        <v>0.34957729</v>
      </c>
    </row>
    <row r="93" customFormat="false" ht="16" hidden="false" customHeight="true" outlineLevel="0" collapsed="false">
      <c r="K93" s="1" t="s">
        <v>54</v>
      </c>
    </row>
    <row r="94" customFormat="false" ht="16" hidden="false" customHeight="true" outlineLevel="0" collapsed="false">
      <c r="K94" s="3" t="s">
        <v>9</v>
      </c>
      <c r="L94" s="3" t="s">
        <v>9</v>
      </c>
      <c r="M94" s="3" t="s">
        <v>9</v>
      </c>
      <c r="N94" s="3" t="s">
        <v>9</v>
      </c>
      <c r="O94" s="3" t="s">
        <v>9</v>
      </c>
    </row>
    <row r="95" customFormat="false" ht="16" hidden="false" customHeight="true" outlineLevel="0" collapsed="false">
      <c r="K95" s="1" t="s">
        <v>55</v>
      </c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